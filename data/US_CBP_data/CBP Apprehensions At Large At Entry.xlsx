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Admin\Documents\Research\Europe Demographic Trends and Immigration\"/>
    </mc:Choice>
  </mc:AlternateContent>
  <xr:revisionPtr revIDLastSave="0" documentId="13_ncr:1_{82665B0D-1D3C-4A69-A918-10BA0B8B34CB}" xr6:coauthVersionLast="47" xr6:coauthVersionMax="47" xr10:uidLastSave="{00000000-0000-0000-0000-000000000000}"/>
  <bookViews>
    <workbookView xWindow="-120" yWindow="-120" windowWidth="29040" windowHeight="17520" xr2:uid="{A611839D-C391-4707-B091-343EC24D1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1" l="1"/>
  <c r="O40" i="1"/>
  <c r="P41" i="1"/>
  <c r="O41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B5" i="1"/>
  <c r="M31" i="1" l="1"/>
  <c r="M32" i="1"/>
</calcChain>
</file>

<file path=xl/sharedStrings.xml><?xml version="1.0" encoding="utf-8"?>
<sst xmlns="http://schemas.openxmlformats.org/spreadsheetml/2006/main" count="8" uniqueCount="4">
  <si>
    <t>Nationwide Total Apprehensions</t>
  </si>
  <si>
    <t>At Large</t>
  </si>
  <si>
    <t>At Entry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</si>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</sst>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80808"/>
      <name val="Arial"/>
      <family val="2"/>
    </font>
    <font>
      <b/>
      <sz val="11"/>
      <color rgb="FF005288"/>
      <name val="Arial"/>
      <family val="2"/>
    </font>
    <font>
      <sz val="11"/>
      <color rgb="FF080808"/>
      <name val="Arial"/>
      <family val="2"/>
    </font>
    <font>
      <b/>
      <i/>
      <sz val="11"/>
      <color rgb="FF08080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EEE"/>
        <bgColor indexed="64"/>
      </patternFill>
    </fill>
    <fill>
      <patternFill patternType="solid">
        <fgColor rgb="FFFCFDFD"/>
        <bgColor indexed="64"/>
      </patternFill>
    </fill>
  </fills>
  <borders count="1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CCCCC"/>
      </right>
      <top style="medium">
        <color rgb="FFC0C0C0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0C0C0"/>
      </top>
      <bottom style="medium">
        <color rgb="FFCCCCCC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CCCCC"/>
      </bottom>
      <diagonal/>
    </border>
    <border>
      <left style="medium">
        <color rgb="FFC0C0C0"/>
      </left>
      <right style="medium">
        <color rgb="FFCCCCCC"/>
      </right>
      <top style="medium">
        <color rgb="FFC0C0C0"/>
      </top>
      <bottom style="medium">
        <color rgb="FFCCCCCC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CCCCC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CCCCCC"/>
      </bottom>
      <diagonal/>
    </border>
    <border>
      <left style="medium">
        <color rgb="FFC0C0C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3" fillId="4" borderId="1" xfId="0" applyNumberFormat="1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3" fontId="3" fillId="4" borderId="5" xfId="0" applyNumberFormat="1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3" fontId="3" fillId="4" borderId="7" xfId="0" applyNumberFormat="1" applyFont="1" applyFill="1" applyBorder="1" applyAlignment="1">
      <alignment vertical="center" wrapText="1"/>
    </xf>
    <xf numFmtId="3" fontId="3" fillId="4" borderId="8" xfId="0" applyNumberFormat="1" applyFont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3" fontId="3" fillId="4" borderId="9" xfId="0" applyNumberFormat="1" applyFont="1" applyFill="1" applyBorder="1" applyAlignment="1">
      <alignment vertical="center" wrapText="1"/>
    </xf>
    <xf numFmtId="3" fontId="3" fillId="4" borderId="10" xfId="0" applyNumberFormat="1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3" fontId="3" fillId="2" borderId="9" xfId="0" applyNumberFormat="1" applyFont="1" applyFill="1" applyBorder="1" applyAlignment="1">
      <alignment vertical="center" wrapText="1"/>
    </xf>
    <xf numFmtId="3" fontId="3" fillId="2" borderId="10" xfId="0" applyNumberFormat="1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CBP Apprehensions</a:t>
            </a:r>
            <a:r>
              <a:rPr lang="en-US" baseline="0"/>
              <a:t> - At Large vs Total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Nationwide Total Apprehensions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Sheet1!$B$1:$AA$1</c:f>
              <c:numCache>
                <c:formatCode>m/d/yyyy</c:formatCode>
                <c:ptCount val="26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  <c:pt idx="24">
                  <c:v>45931</c:v>
                </c:pt>
                <c:pt idx="25">
                  <c:v>45962</c:v>
                </c:pt>
              </c:numCache>
            </c:numRef>
          </c:cat>
          <c:val>
            <c:numRef>
              <c:f>Sheet1!$B$2:$AA$2</c:f>
              <c:numCache>
                <c:formatCode>#,##0</c:formatCode>
                <c:ptCount val="26"/>
                <c:pt idx="0">
                  <c:v>190454</c:v>
                </c:pt>
                <c:pt idx="1">
                  <c:v>192357</c:v>
                </c:pt>
                <c:pt idx="2">
                  <c:v>251178</c:v>
                </c:pt>
                <c:pt idx="3">
                  <c:v>125440</c:v>
                </c:pt>
                <c:pt idx="4">
                  <c:v>142104</c:v>
                </c:pt>
                <c:pt idx="5">
                  <c:v>139124</c:v>
                </c:pt>
                <c:pt idx="6">
                  <c:v>131078</c:v>
                </c:pt>
                <c:pt idx="7">
                  <c:v>121646</c:v>
                </c:pt>
                <c:pt idx="8">
                  <c:v>87606</c:v>
                </c:pt>
                <c:pt idx="9">
                  <c:v>59655</c:v>
                </c:pt>
                <c:pt idx="10">
                  <c:v>60684</c:v>
                </c:pt>
                <c:pt idx="11">
                  <c:v>55993</c:v>
                </c:pt>
                <c:pt idx="12">
                  <c:v>58115</c:v>
                </c:pt>
                <c:pt idx="13">
                  <c:v>47534</c:v>
                </c:pt>
                <c:pt idx="14">
                  <c:v>48137</c:v>
                </c:pt>
                <c:pt idx="15">
                  <c:v>30127</c:v>
                </c:pt>
                <c:pt idx="16">
                  <c:v>9241</c:v>
                </c:pt>
                <c:pt idx="17">
                  <c:v>8193</c:v>
                </c:pt>
                <c:pt idx="18">
                  <c:v>10007</c:v>
                </c:pt>
                <c:pt idx="19">
                  <c:v>10359</c:v>
                </c:pt>
                <c:pt idx="20">
                  <c:v>8014</c:v>
                </c:pt>
                <c:pt idx="21">
                  <c:v>6168</c:v>
                </c:pt>
                <c:pt idx="22">
                  <c:v>8085</c:v>
                </c:pt>
                <c:pt idx="23">
                  <c:v>10203</c:v>
                </c:pt>
                <c:pt idx="24">
                  <c:v>9846</c:v>
                </c:pt>
                <c:pt idx="25">
                  <c:v>9213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2-4EB9-AA93-A8956DE3ED7C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At Large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Sheet1!$B$1:$AA$1</c:f>
              <c:numCache>
                <c:formatCode>m/d/yyyy</c:formatCode>
                <c:ptCount val="26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  <c:pt idx="24">
                  <c:v>45931</c:v>
                </c:pt>
                <c:pt idx="25">
                  <c:v>45962</c:v>
                </c:pt>
              </c:numCache>
            </c:numRef>
          </c:cat>
          <c:val>
            <c:numRef>
              <c:f>Sheet1!$B$3:$Y$3</c:f>
              <c:numCache>
                <c:formatCode>#,##0</c:formatCode>
                <c:ptCount val="24"/>
                <c:pt idx="0">
                  <c:v>2977</c:v>
                </c:pt>
                <c:pt idx="1">
                  <c:v>2668</c:v>
                </c:pt>
                <c:pt idx="2">
                  <c:v>4676</c:v>
                </c:pt>
                <c:pt idx="3">
                  <c:v>2057</c:v>
                </c:pt>
                <c:pt idx="4">
                  <c:v>2670</c:v>
                </c:pt>
                <c:pt idx="5">
                  <c:v>2700</c:v>
                </c:pt>
                <c:pt idx="6">
                  <c:v>2813</c:v>
                </c:pt>
                <c:pt idx="7">
                  <c:v>2429</c:v>
                </c:pt>
                <c:pt idx="8">
                  <c:v>1800</c:v>
                </c:pt>
                <c:pt idx="9">
                  <c:v>1432</c:v>
                </c:pt>
                <c:pt idx="10">
                  <c:v>1665</c:v>
                </c:pt>
                <c:pt idx="11">
                  <c:v>1609</c:v>
                </c:pt>
                <c:pt idx="12">
                  <c:v>1667</c:v>
                </c:pt>
                <c:pt idx="13">
                  <c:v>1427</c:v>
                </c:pt>
                <c:pt idx="14">
                  <c:v>1275</c:v>
                </c:pt>
                <c:pt idx="15">
                  <c:v>1405</c:v>
                </c:pt>
                <c:pt idx="16">
                  <c:v>1430</c:v>
                </c:pt>
                <c:pt idx="17">
                  <c:v>1720</c:v>
                </c:pt>
                <c:pt idx="18">
                  <c:v>2388</c:v>
                </c:pt>
                <c:pt idx="19">
                  <c:v>2295</c:v>
                </c:pt>
                <c:pt idx="20">
                  <c:v>2537</c:v>
                </c:pt>
                <c:pt idx="21">
                  <c:v>2229</c:v>
                </c:pt>
                <c:pt idx="22">
                  <c:v>2642</c:v>
                </c:pt>
                <c:pt idx="23">
                  <c:v>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2-4EB9-AA93-A8956DE3E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587328"/>
        <c:axId val="1094588768"/>
      </c:barChart>
      <c:dateAx>
        <c:axId val="10945873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88768"/>
        <c:crosses val="autoZero"/>
        <c:auto val="1"/>
        <c:lblOffset val="100"/>
        <c:baseTimeUnit val="months"/>
      </c:dateAx>
      <c:valAx>
        <c:axId val="10945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8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Encounters - At Large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At Large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Sheet1!$B$1:$AA$1</c:f>
              <c:numCache>
                <c:formatCode>m/d/yyyy</c:formatCode>
                <c:ptCount val="26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  <c:pt idx="24">
                  <c:v>45931</c:v>
                </c:pt>
                <c:pt idx="25">
                  <c:v>45962</c:v>
                </c:pt>
              </c:numCache>
            </c:numRef>
          </c:cat>
          <c:val>
            <c:numRef>
              <c:f>Sheet1!$B$3:$AA$3</c:f>
              <c:numCache>
                <c:formatCode>#,##0</c:formatCode>
                <c:ptCount val="26"/>
                <c:pt idx="0">
                  <c:v>2977</c:v>
                </c:pt>
                <c:pt idx="1">
                  <c:v>2668</c:v>
                </c:pt>
                <c:pt idx="2">
                  <c:v>4676</c:v>
                </c:pt>
                <c:pt idx="3">
                  <c:v>2057</c:v>
                </c:pt>
                <c:pt idx="4">
                  <c:v>2670</c:v>
                </c:pt>
                <c:pt idx="5">
                  <c:v>2700</c:v>
                </c:pt>
                <c:pt idx="6">
                  <c:v>2813</c:v>
                </c:pt>
                <c:pt idx="7">
                  <c:v>2429</c:v>
                </c:pt>
                <c:pt idx="8">
                  <c:v>1800</c:v>
                </c:pt>
                <c:pt idx="9">
                  <c:v>1432</c:v>
                </c:pt>
                <c:pt idx="10">
                  <c:v>1665</c:v>
                </c:pt>
                <c:pt idx="11">
                  <c:v>1609</c:v>
                </c:pt>
                <c:pt idx="12">
                  <c:v>1667</c:v>
                </c:pt>
                <c:pt idx="13">
                  <c:v>1427</c:v>
                </c:pt>
                <c:pt idx="14">
                  <c:v>1275</c:v>
                </c:pt>
                <c:pt idx="15">
                  <c:v>1405</c:v>
                </c:pt>
                <c:pt idx="16">
                  <c:v>1430</c:v>
                </c:pt>
                <c:pt idx="17">
                  <c:v>1720</c:v>
                </c:pt>
                <c:pt idx="18">
                  <c:v>2388</c:v>
                </c:pt>
                <c:pt idx="19">
                  <c:v>2295</c:v>
                </c:pt>
                <c:pt idx="20">
                  <c:v>2537</c:v>
                </c:pt>
                <c:pt idx="21">
                  <c:v>2229</c:v>
                </c:pt>
                <c:pt idx="22">
                  <c:v>2642</c:v>
                </c:pt>
                <c:pt idx="23">
                  <c:v>2902</c:v>
                </c:pt>
                <c:pt idx="24">
                  <c:v>3179</c:v>
                </c:pt>
                <c:pt idx="25">
                  <c:v>3151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5-422F-80BE-B9D27B80D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35120"/>
        <c:axId val="130236080"/>
      </c:lineChart>
      <c:dateAx>
        <c:axId val="1302351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6080"/>
        <c:crosses val="autoZero"/>
        <c:auto val="1"/>
        <c:lblOffset val="100"/>
        <c:baseTimeUnit val="months"/>
      </c:dateAx>
      <c:valAx>
        <c:axId val="13023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Encounters - At Large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Adjusted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Sheet1!$B$1:$AA$1</c:f>
              <c:numCache>
                <c:formatCode>m/d/yyyy</c:formatCode>
                <c:ptCount val="26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  <c:pt idx="13">
                  <c:v>45597</c:v>
                </c:pt>
                <c:pt idx="14">
                  <c:v>45627</c:v>
                </c:pt>
                <c:pt idx="15">
                  <c:v>45658</c:v>
                </c:pt>
                <c:pt idx="16">
                  <c:v>45689</c:v>
                </c:pt>
                <c:pt idx="17">
                  <c:v>45717</c:v>
                </c:pt>
                <c:pt idx="18">
                  <c:v>45748</c:v>
                </c:pt>
                <c:pt idx="19">
                  <c:v>45778</c:v>
                </c:pt>
                <c:pt idx="20">
                  <c:v>45809</c:v>
                </c:pt>
                <c:pt idx="21">
                  <c:v>45839</c:v>
                </c:pt>
                <c:pt idx="22">
                  <c:v>45870</c:v>
                </c:pt>
                <c:pt idx="23">
                  <c:v>45901</c:v>
                </c:pt>
                <c:pt idx="24">
                  <c:v>45931</c:v>
                </c:pt>
                <c:pt idx="25">
                  <c:v>45962</c:v>
                </c:pt>
              </c:numCache>
            </c:numRef>
          </c:cat>
          <c:val>
            <c:numRef>
              <c:f>Sheet1!$B$5:$AA$5</c:f>
              <c:numCache>
                <c:formatCode>General</c:formatCode>
                <c:ptCount val="26"/>
                <c:pt idx="0">
                  <c:v>3968.3409999999999</c:v>
                </c:pt>
                <c:pt idx="1">
                  <c:v>3556.444</c:v>
                </c:pt>
                <c:pt idx="2">
                  <c:v>6233.1080000000002</c:v>
                </c:pt>
                <c:pt idx="3">
                  <c:v>2741.9809999999998</c:v>
                </c:pt>
                <c:pt idx="4">
                  <c:v>3559.11</c:v>
                </c:pt>
                <c:pt idx="5">
                  <c:v>3599.1</c:v>
                </c:pt>
                <c:pt idx="6">
                  <c:v>3749.7289999999998</c:v>
                </c:pt>
                <c:pt idx="7">
                  <c:v>3237.857</c:v>
                </c:pt>
                <c:pt idx="8">
                  <c:v>2399.4</c:v>
                </c:pt>
                <c:pt idx="9">
                  <c:v>1908.856</c:v>
                </c:pt>
                <c:pt idx="10">
                  <c:v>2219.4450000000002</c:v>
                </c:pt>
                <c:pt idx="11">
                  <c:v>2144.797</c:v>
                </c:pt>
                <c:pt idx="12">
                  <c:v>2222.1109999999999</c:v>
                </c:pt>
                <c:pt idx="13">
                  <c:v>1902.191</c:v>
                </c:pt>
                <c:pt idx="14">
                  <c:v>1699.575</c:v>
                </c:pt>
                <c:pt idx="15">
                  <c:v>1872.865</c:v>
                </c:pt>
                <c:pt idx="16">
                  <c:v>1906.19</c:v>
                </c:pt>
                <c:pt idx="17">
                  <c:v>2292.7599999999998</c:v>
                </c:pt>
                <c:pt idx="18">
                  <c:v>3183.2039999999997</c:v>
                </c:pt>
                <c:pt idx="19">
                  <c:v>3059.2350000000001</c:v>
                </c:pt>
                <c:pt idx="20">
                  <c:v>3381.8209999999999</c:v>
                </c:pt>
                <c:pt idx="21">
                  <c:v>2971.2570000000001</c:v>
                </c:pt>
                <c:pt idx="22">
                  <c:v>3521.7860000000001</c:v>
                </c:pt>
                <c:pt idx="23">
                  <c:v>3868.366</c:v>
                </c:pt>
                <c:pt idx="24">
                  <c:v>4237.607</c:v>
                </c:pt>
                <c:pt idx="25">
                  <c:v>4200.2829999999994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8-46BA-A3FD-11E0088DE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35120"/>
        <c:axId val="130236080"/>
      </c:lineChart>
      <c:dateAx>
        <c:axId val="1302351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6080"/>
        <c:crosses val="autoZero"/>
        <c:auto val="1"/>
        <c:lblOffset val="100"/>
        <c:baseTimeUnit val="months"/>
      </c:dateAx>
      <c:valAx>
        <c:axId val="13023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19050</xdr:rowOff>
    </xdr:from>
    <xdr:to>
      <xdr:col>14</xdr:col>
      <xdr:colOff>447675</xdr:colOff>
      <xdr:row>28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D373E7-F533-D947-0130-101868F47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409574</xdr:colOff>
      <xdr:row>5</xdr:row>
      <xdr:rowOff>14287</xdr:rowOff>
    </xdr:from>
    <xdr:to>
      <xdr:col>25</xdr:col>
      <xdr:colOff>619124</xdr:colOff>
      <xdr:row>27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C71C6-C480-5D18-E915-39F99C754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11</xdr:col>
      <xdr:colOff>76200</xdr:colOff>
      <xdr:row>52</xdr:row>
      <xdr:rowOff>166688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651867-6B08-4261-8AA5-24E1A1942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A0D5-1904-49D0-9B22-6FF1FE0817BF}">
  <dimension ref="A1:AL41"/>
  <sheetViews>
    <sheetView tabSelected="1" topLeftCell="D1" zoomScale="77" workbookViewId="0">
      <selection activeCell="V41" sqref="V41"/>
    </sheetView>
  </sheetViews>
  <sheetFormatPr defaultRowHeight="15" x14ac:dyDescent="0.25"/>
  <cols>
    <col min="2" max="4" width="10.140625" bestFit="1" customWidth="1"/>
    <col min="14" max="16" width="10.140625" bestFit="1" customWidth="1"/>
    <col min="26" max="27" width="10.140625" bestFit="1" customWidth="1"/>
  </cols>
  <sheetData>
    <row r="1" spans="1:28" ht="15.75" thickBot="1" x14ac:dyDescent="0.3">
      <c r="B1" s="10">
        <v>45200</v>
      </c>
      <c r="C1" s="11">
        <v>45231</v>
      </c>
      <c r="D1" s="10">
        <v>45261</v>
      </c>
      <c r="E1" s="11">
        <v>45292</v>
      </c>
      <c r="F1" s="10">
        <v>45323</v>
      </c>
      <c r="G1" s="11">
        <v>45352</v>
      </c>
      <c r="H1" s="10">
        <v>45383</v>
      </c>
      <c r="I1" s="11">
        <v>45413</v>
      </c>
      <c r="J1" s="10">
        <v>45444</v>
      </c>
      <c r="K1" s="11">
        <v>45474</v>
      </c>
      <c r="L1" s="10">
        <v>45505</v>
      </c>
      <c r="M1" s="11">
        <v>45536</v>
      </c>
      <c r="N1" s="10">
        <v>45566</v>
      </c>
      <c r="O1" s="11">
        <v>45597</v>
      </c>
      <c r="P1" s="10">
        <v>45627</v>
      </c>
      <c r="Q1" s="11">
        <v>45658</v>
      </c>
      <c r="R1" s="10">
        <v>45689</v>
      </c>
      <c r="S1" s="11">
        <v>45717</v>
      </c>
      <c r="T1" s="10">
        <v>45748</v>
      </c>
      <c r="U1" s="11">
        <v>45778</v>
      </c>
      <c r="V1" s="10">
        <v>45809</v>
      </c>
      <c r="W1" s="11">
        <v>45839</v>
      </c>
      <c r="X1" s="10">
        <v>45870</v>
      </c>
      <c r="Y1" s="11">
        <v>45901</v>
      </c>
      <c r="Z1" s="10">
        <v>45931</v>
      </c>
      <c r="AA1" s="11">
        <v>45962</v>
      </c>
    </row>
    <row r="2" spans="1:28" ht="75.75" thickBot="1" x14ac:dyDescent="0.3">
      <c r="A2" s="3" t="s">
        <v>0</v>
      </c>
      <c r="B2" s="1">
        <v>190454</v>
      </c>
      <c r="C2" s="1">
        <v>192357</v>
      </c>
      <c r="D2" s="1">
        <v>251178</v>
      </c>
      <c r="E2" s="1">
        <v>125440</v>
      </c>
      <c r="F2" s="1">
        <v>142104</v>
      </c>
      <c r="G2" s="1">
        <v>139124</v>
      </c>
      <c r="H2" s="1">
        <v>131078</v>
      </c>
      <c r="I2" s="1">
        <v>121646</v>
      </c>
      <c r="J2" s="1">
        <v>87606</v>
      </c>
      <c r="K2" s="1">
        <v>59655</v>
      </c>
      <c r="L2" s="1">
        <v>60684</v>
      </c>
      <c r="M2" s="4">
        <v>55993</v>
      </c>
      <c r="N2" s="1">
        <v>58115</v>
      </c>
      <c r="O2" s="1">
        <v>47534</v>
      </c>
      <c r="P2" s="1">
        <v>48137</v>
      </c>
      <c r="Q2" s="1">
        <v>30127</v>
      </c>
      <c r="R2" s="1">
        <v>9241</v>
      </c>
      <c r="S2" s="1">
        <v>8193</v>
      </c>
      <c r="T2" s="1">
        <v>10007</v>
      </c>
      <c r="U2" s="1">
        <v>10359</v>
      </c>
      <c r="V2" s="1">
        <v>8014</v>
      </c>
      <c r="W2" s="1">
        <v>6168</v>
      </c>
      <c r="X2" s="1">
        <v>8085</v>
      </c>
      <c r="Y2" s="4">
        <v>10203</v>
      </c>
      <c r="Z2" s="12">
        <v>9846</v>
      </c>
      <c r="AA2" s="13">
        <v>9213</v>
      </c>
      <c r="AB2" s="14"/>
    </row>
    <row r="3" spans="1:28" ht="29.25" thickBot="1" x14ac:dyDescent="0.3">
      <c r="A3" s="5" t="s">
        <v>1</v>
      </c>
      <c r="B3" s="2">
        <v>2977</v>
      </c>
      <c r="C3" s="2">
        <v>2668</v>
      </c>
      <c r="D3" s="2">
        <v>4676</v>
      </c>
      <c r="E3" s="2">
        <v>2057</v>
      </c>
      <c r="F3" s="2">
        <v>2670</v>
      </c>
      <c r="G3" s="2">
        <v>2700</v>
      </c>
      <c r="H3" s="2">
        <v>2813</v>
      </c>
      <c r="I3" s="2">
        <v>2429</v>
      </c>
      <c r="J3" s="2">
        <v>1800</v>
      </c>
      <c r="K3" s="2">
        <v>1432</v>
      </c>
      <c r="L3" s="2">
        <v>1665</v>
      </c>
      <c r="M3" s="6">
        <v>1609</v>
      </c>
      <c r="N3" s="2">
        <v>1667</v>
      </c>
      <c r="O3" s="2">
        <v>1427</v>
      </c>
      <c r="P3" s="2">
        <v>1275</v>
      </c>
      <c r="Q3" s="2">
        <v>1405</v>
      </c>
      <c r="R3" s="2">
        <v>1430</v>
      </c>
      <c r="S3" s="2">
        <v>1720</v>
      </c>
      <c r="T3" s="2">
        <v>2388</v>
      </c>
      <c r="U3" s="2">
        <v>2295</v>
      </c>
      <c r="V3" s="2">
        <v>2537</v>
      </c>
      <c r="W3" s="2">
        <v>2229</v>
      </c>
      <c r="X3" s="2">
        <v>2642</v>
      </c>
      <c r="Y3" s="6">
        <v>2902</v>
      </c>
      <c r="Z3" s="15">
        <v>3179</v>
      </c>
      <c r="AA3" s="16">
        <v>3151</v>
      </c>
      <c r="AB3" s="17"/>
    </row>
    <row r="4" spans="1:28" ht="29.25" thickBot="1" x14ac:dyDescent="0.3">
      <c r="A4" s="7" t="s">
        <v>2</v>
      </c>
      <c r="B4" s="8">
        <v>187477</v>
      </c>
      <c r="C4" s="8">
        <v>189689</v>
      </c>
      <c r="D4" s="8">
        <v>246502</v>
      </c>
      <c r="E4" s="8">
        <v>123383</v>
      </c>
      <c r="F4" s="8">
        <v>139434</v>
      </c>
      <c r="G4" s="8">
        <v>136424</v>
      </c>
      <c r="H4" s="8">
        <v>128265</v>
      </c>
      <c r="I4" s="8">
        <v>119217</v>
      </c>
      <c r="J4" s="8">
        <v>85806</v>
      </c>
      <c r="K4" s="8">
        <v>58223</v>
      </c>
      <c r="L4" s="8">
        <v>59029</v>
      </c>
      <c r="M4" s="9">
        <v>54384</v>
      </c>
      <c r="N4" s="8">
        <v>56448</v>
      </c>
      <c r="O4" s="8">
        <v>46107</v>
      </c>
      <c r="P4" s="8">
        <v>46862</v>
      </c>
      <c r="Q4" s="8">
        <v>28722</v>
      </c>
      <c r="R4" s="8">
        <v>7811</v>
      </c>
      <c r="S4" s="8">
        <v>6473</v>
      </c>
      <c r="T4" s="8">
        <v>7619</v>
      </c>
      <c r="U4" s="8">
        <v>8064</v>
      </c>
      <c r="V4" s="8">
        <v>5477</v>
      </c>
      <c r="W4" s="8">
        <v>3939</v>
      </c>
      <c r="X4" s="8">
        <v>5443</v>
      </c>
      <c r="Y4" s="9">
        <v>7301</v>
      </c>
      <c r="Z4" s="12">
        <v>6667</v>
      </c>
      <c r="AA4" s="13">
        <v>6062</v>
      </c>
      <c r="AB4" s="14"/>
    </row>
    <row r="5" spans="1:28" x14ac:dyDescent="0.25">
      <c r="A5" t="s">
        <v>3</v>
      </c>
      <c r="B5">
        <f>B3*1.333</f>
        <v>3968.3409999999999</v>
      </c>
      <c r="C5">
        <f t="shared" ref="C5:AA5" si="0">C3*1.333</f>
        <v>3556.444</v>
      </c>
      <c r="D5">
        <f t="shared" si="0"/>
        <v>6233.1080000000002</v>
      </c>
      <c r="E5">
        <f t="shared" si="0"/>
        <v>2741.9809999999998</v>
      </c>
      <c r="F5">
        <f t="shared" si="0"/>
        <v>3559.11</v>
      </c>
      <c r="G5">
        <f t="shared" si="0"/>
        <v>3599.1</v>
      </c>
      <c r="H5">
        <f t="shared" si="0"/>
        <v>3749.7289999999998</v>
      </c>
      <c r="I5">
        <f t="shared" si="0"/>
        <v>3237.857</v>
      </c>
      <c r="J5">
        <f t="shared" si="0"/>
        <v>2399.4</v>
      </c>
      <c r="K5">
        <f t="shared" si="0"/>
        <v>1908.856</v>
      </c>
      <c r="L5">
        <f t="shared" si="0"/>
        <v>2219.4450000000002</v>
      </c>
      <c r="M5">
        <f t="shared" si="0"/>
        <v>2144.797</v>
      </c>
      <c r="N5">
        <f t="shared" si="0"/>
        <v>2222.1109999999999</v>
      </c>
      <c r="O5">
        <f t="shared" si="0"/>
        <v>1902.191</v>
      </c>
      <c r="P5">
        <f t="shared" si="0"/>
        <v>1699.575</v>
      </c>
      <c r="Q5">
        <f t="shared" si="0"/>
        <v>1872.865</v>
      </c>
      <c r="R5">
        <f t="shared" si="0"/>
        <v>1906.19</v>
      </c>
      <c r="S5">
        <f t="shared" si="0"/>
        <v>2292.7599999999998</v>
      </c>
      <c r="T5">
        <f t="shared" si="0"/>
        <v>3183.2039999999997</v>
      </c>
      <c r="U5">
        <f t="shared" si="0"/>
        <v>3059.2350000000001</v>
      </c>
      <c r="V5">
        <f t="shared" si="0"/>
        <v>3381.8209999999999</v>
      </c>
      <c r="W5">
        <f t="shared" si="0"/>
        <v>2971.2570000000001</v>
      </c>
      <c r="X5">
        <f t="shared" si="0"/>
        <v>3521.7860000000001</v>
      </c>
      <c r="Y5">
        <f t="shared" si="0"/>
        <v>3868.366</v>
      </c>
      <c r="Z5">
        <f t="shared" si="0"/>
        <v>4237.607</v>
      </c>
      <c r="AA5">
        <f t="shared" si="0"/>
        <v>4200.2829999999994</v>
      </c>
    </row>
    <row r="31" spans="13:13" x14ac:dyDescent="0.25">
      <c r="M31">
        <f>SUM(E5:P5)</f>
        <v>31384.152000000002</v>
      </c>
    </row>
    <row r="32" spans="13:13" x14ac:dyDescent="0.25">
      <c r="M32">
        <f>SUM(Q5:AA5)</f>
        <v>34495.374000000003</v>
      </c>
    </row>
    <row r="33" spans="14:38" ht="15.75" thickBot="1" x14ac:dyDescent="0.3"/>
    <row r="34" spans="14:38" ht="15.75" thickBot="1" x14ac:dyDescent="0.3">
      <c r="O34" s="10">
        <v>45261</v>
      </c>
      <c r="P34" s="11">
        <v>45292</v>
      </c>
      <c r="Q34" s="10">
        <v>45323</v>
      </c>
      <c r="R34" s="11">
        <v>45352</v>
      </c>
      <c r="S34" s="10">
        <v>45383</v>
      </c>
      <c r="T34" s="11">
        <v>45413</v>
      </c>
      <c r="U34" s="10">
        <v>45444</v>
      </c>
      <c r="V34" s="11">
        <v>45474</v>
      </c>
      <c r="W34" s="10">
        <v>45505</v>
      </c>
      <c r="X34" s="11">
        <v>45536</v>
      </c>
      <c r="Y34" s="10">
        <v>45566</v>
      </c>
      <c r="Z34" s="11">
        <v>45597</v>
      </c>
      <c r="AA34" s="10">
        <v>45627</v>
      </c>
      <c r="AB34" s="11">
        <v>45658</v>
      </c>
      <c r="AC34" s="10">
        <v>45689</v>
      </c>
      <c r="AD34" s="11">
        <v>45717</v>
      </c>
      <c r="AE34" s="10">
        <v>45748</v>
      </c>
      <c r="AF34" s="11">
        <v>45778</v>
      </c>
      <c r="AG34" s="10">
        <v>45809</v>
      </c>
      <c r="AH34" s="11">
        <v>45839</v>
      </c>
      <c r="AI34" s="10">
        <v>45870</v>
      </c>
      <c r="AJ34" s="11">
        <v>45901</v>
      </c>
      <c r="AK34" s="10">
        <v>45931</v>
      </c>
      <c r="AL34" s="11">
        <v>45962</v>
      </c>
    </row>
    <row r="35" spans="14:38" ht="15.75" thickBot="1" x14ac:dyDescent="0.3">
      <c r="N35" s="5" t="s">
        <v>1</v>
      </c>
      <c r="O35" s="2">
        <v>4676</v>
      </c>
      <c r="P35" s="2">
        <v>2057</v>
      </c>
      <c r="Q35" s="2">
        <v>2670</v>
      </c>
      <c r="R35" s="2">
        <v>2700</v>
      </c>
      <c r="S35" s="2">
        <v>2813</v>
      </c>
      <c r="T35" s="2">
        <v>2429</v>
      </c>
      <c r="U35" s="2">
        <v>1800</v>
      </c>
      <c r="V35" s="2">
        <v>1432</v>
      </c>
      <c r="W35" s="2">
        <v>1665</v>
      </c>
      <c r="X35" s="6">
        <v>1609</v>
      </c>
      <c r="Y35" s="2">
        <v>1667</v>
      </c>
      <c r="Z35" s="2">
        <v>1427</v>
      </c>
      <c r="AA35" s="2">
        <v>1275</v>
      </c>
      <c r="AB35" s="2">
        <v>1405</v>
      </c>
      <c r="AC35" s="2">
        <v>1430</v>
      </c>
      <c r="AD35" s="2">
        <v>1720</v>
      </c>
      <c r="AE35" s="2">
        <v>2388</v>
      </c>
      <c r="AF35" s="2">
        <v>2295</v>
      </c>
      <c r="AG35" s="2">
        <v>2537</v>
      </c>
      <c r="AH35" s="2">
        <v>2229</v>
      </c>
      <c r="AI35" s="2">
        <v>2642</v>
      </c>
      <c r="AJ35" s="6">
        <v>2902</v>
      </c>
      <c r="AK35" s="15">
        <v>3179</v>
      </c>
      <c r="AL35" s="16">
        <v>3151</v>
      </c>
    </row>
    <row r="36" spans="14:38" ht="29.25" thickBot="1" x14ac:dyDescent="0.3">
      <c r="N36" s="7" t="s">
        <v>3</v>
      </c>
      <c r="O36" s="8">
        <f t="shared" ref="O36:AL36" si="1">O35*1.333</f>
        <v>6233.1080000000002</v>
      </c>
      <c r="P36" s="8">
        <f t="shared" si="1"/>
        <v>2741.9809999999998</v>
      </c>
      <c r="Q36" s="8">
        <f t="shared" si="1"/>
        <v>3559.11</v>
      </c>
      <c r="R36" s="8">
        <f t="shared" si="1"/>
        <v>3599.1</v>
      </c>
      <c r="S36" s="8">
        <f t="shared" si="1"/>
        <v>3749.7289999999998</v>
      </c>
      <c r="T36" s="8">
        <f t="shared" si="1"/>
        <v>3237.857</v>
      </c>
      <c r="U36" s="8">
        <f t="shared" si="1"/>
        <v>2399.4</v>
      </c>
      <c r="V36" s="8">
        <f t="shared" si="1"/>
        <v>1908.856</v>
      </c>
      <c r="W36" s="8">
        <f t="shared" si="1"/>
        <v>2219.4450000000002</v>
      </c>
      <c r="X36" s="9">
        <f t="shared" si="1"/>
        <v>2144.797</v>
      </c>
      <c r="Y36" s="8">
        <f t="shared" si="1"/>
        <v>2222.1109999999999</v>
      </c>
      <c r="Z36" s="8">
        <f t="shared" si="1"/>
        <v>1902.191</v>
      </c>
      <c r="AA36" s="8">
        <f t="shared" si="1"/>
        <v>1699.575</v>
      </c>
      <c r="AB36" s="8">
        <f t="shared" si="1"/>
        <v>1872.865</v>
      </c>
      <c r="AC36" s="8">
        <f t="shared" si="1"/>
        <v>1906.19</v>
      </c>
      <c r="AD36" s="8">
        <f t="shared" si="1"/>
        <v>2292.7599999999998</v>
      </c>
      <c r="AE36" s="8">
        <f t="shared" si="1"/>
        <v>3183.2039999999997</v>
      </c>
      <c r="AF36" s="8">
        <f t="shared" si="1"/>
        <v>3059.2350000000001</v>
      </c>
      <c r="AG36" s="8">
        <f t="shared" si="1"/>
        <v>3381.8209999999999</v>
      </c>
      <c r="AH36" s="8">
        <f t="shared" si="1"/>
        <v>2971.2570000000001</v>
      </c>
      <c r="AI36" s="8">
        <f t="shared" si="1"/>
        <v>3521.7860000000001</v>
      </c>
      <c r="AJ36" s="9">
        <f t="shared" si="1"/>
        <v>3868.366</v>
      </c>
      <c r="AK36" s="12">
        <f t="shared" si="1"/>
        <v>4237.607</v>
      </c>
      <c r="AL36" s="13">
        <f t="shared" si="1"/>
        <v>4200.2829999999994</v>
      </c>
    </row>
    <row r="38" spans="14:38" ht="15.75" thickBot="1" x14ac:dyDescent="0.3"/>
    <row r="39" spans="14:38" ht="15.75" thickBot="1" x14ac:dyDescent="0.3">
      <c r="O39" s="18">
        <v>2024</v>
      </c>
      <c r="P39" s="19">
        <v>2025</v>
      </c>
    </row>
    <row r="40" spans="14:38" ht="15.75" thickBot="1" x14ac:dyDescent="0.3">
      <c r="N40" s="5" t="s">
        <v>1</v>
      </c>
      <c r="O40" s="2">
        <f>SUM(P35:AA35)</f>
        <v>23544</v>
      </c>
      <c r="P40" s="2">
        <f>SUM(AB36:AL36)</f>
        <v>34495.374000000003</v>
      </c>
    </row>
    <row r="41" spans="14:38" ht="29.25" thickBot="1" x14ac:dyDescent="0.3">
      <c r="N41" s="7" t="s">
        <v>3</v>
      </c>
      <c r="O41" s="8">
        <f t="shared" ref="O41:P41" si="2">O40*1.333</f>
        <v>31384.151999999998</v>
      </c>
      <c r="P41" s="8">
        <f t="shared" si="2"/>
        <v>45982.333542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Zhong</dc:creator>
  <cp:lastModifiedBy>Crystal Zhong</cp:lastModifiedBy>
  <dcterms:created xsi:type="dcterms:W3CDTF">2025-12-10T19:47:25Z</dcterms:created>
  <dcterms:modified xsi:type="dcterms:W3CDTF">2026-01-02T19:05:43Z</dcterms:modified>
</cp:coreProperties>
</file>